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ug Report" sheetId="1" r:id="rId4"/>
    <sheet state="visible" name="Bug Log" sheetId="2" r:id="rId5"/>
  </sheets>
  <definedNames/>
  <calcPr/>
  <extLst>
    <ext uri="GoogleSheetsCustomDataVersion2">
      <go:sheetsCustomData xmlns:go="http://customooxmlschemas.google.com/" r:id="rId6" roundtripDataChecksum="rnWmCN4kMFlLygNxuU/4RBMan+oLNF5ojMKEGttByFM="/>
    </ext>
  </extLst>
</workbook>
</file>

<file path=xl/sharedStrings.xml><?xml version="1.0" encoding="utf-8"?>
<sst xmlns="http://schemas.openxmlformats.org/spreadsheetml/2006/main" count="67" uniqueCount="50">
  <si>
    <t>Bug ID</t>
  </si>
  <si>
    <t>BUG REPORT</t>
  </si>
  <si>
    <t>Title</t>
  </si>
  <si>
    <t>Requirement</t>
  </si>
  <si>
    <t>Precondition</t>
  </si>
  <si>
    <t>Steps</t>
  </si>
  <si>
    <t>Expected</t>
  </si>
  <si>
    <t>Actual</t>
  </si>
  <si>
    <t>Severity</t>
  </si>
  <si>
    <t>Reproducibility</t>
  </si>
  <si>
    <t>Evidence / Notes</t>
  </si>
  <si>
    <t>Поле</t>
  </si>
  <si>
    <t>Значення</t>
  </si>
  <si>
    <t>BUG-01</t>
  </si>
  <si>
    <t>BUG-02</t>
  </si>
  <si>
    <t>BUG-03</t>
  </si>
  <si>
    <t>BUG-04</t>
  </si>
  <si>
    <t>Controller stays in OPENING and OPEN relay remains ON after LIMIT_OPEN is activated</t>
  </si>
  <si>
    <t>Controller goes to ERROR ("movement timeout") instead of CLOSING when CLOSE command is sent</t>
  </si>
  <si>
    <t>No movement timeout during opening: controller stays in OPENING with OPEN relay ON when LIMIT_OPEN is not reached</t>
  </si>
  <si>
    <t>Controller does not enter ERROR when LIMIT_OPEN and LIMIT_CLOSE are active simultaneously (only WARNING in log)</t>
  </si>
  <si>
    <t>R3</t>
  </si>
  <si>
    <t>R4</t>
  </si>
  <si>
    <t>R10</t>
  </si>
  <si>
    <t>R11</t>
  </si>
  <si>
    <t>Controller is in OPENING. OPEN relay = ON.</t>
  </si>
  <si>
    <t>Controller is in STOPPED. OPEN state cannot be reached due to BUG-01.</t>
  </si>
  <si>
    <t>Controller is in CLOSED. LIMIT_OPEN remains inactive.</t>
  </si>
  <si>
    <t>Controller is running (initial state CLOSED).</t>
  </si>
  <si>
    <t>1. Start simulation (initial state CLOSED).
2. Press OPEN button / send O command.
3. Verify state = OPENING.
4. Activate LIMIT_OPEN.
5. Observe state, relays, LEDs and Serial Monitor.</t>
  </si>
  <si>
    <t>1. Start simulation (initial state CLOSED).
2. Send O command, state becomes OPENING.
3. Send S command, state becomes STOPPED.
4. Send C command, state becomes CLOSING.
5. Wait and observe state, relays, LEDs and Serial Monitor.</t>
  </si>
  <si>
    <t>1. Start simulation (initial state CLOSED).
2. Send O command.
3. Do not activate LIMIT_OPEN.
4. Wait longer than the movement timeout period.
5. Observe state, relays, LEDs, buzzer and Serial Monitor.</t>
  </si>
  <si>
    <t>1. Start simulation.
2. Activate LIMIT_OPEN and LIMIT_CLOSE simultaneously.
3. Observe state, relays, LEDs, buzzer and Serial Monitor.</t>
  </si>
  <si>
    <t>STATE = OPEN; OPEN relay = OFF; CLOSE relay = OFF; OPEN LED = ON; ERROR LED = OFF</t>
  </si>
  <si>
    <t>STATE = CLOSING; CLOSE relay = ON; OPEN relay = OFF; CLOSE LED = ON; OPEN LED = OFF; ERROR LED = OFF</t>
  </si>
  <si>
    <t>STATE = ERROR; OPEN relay = OFF; CLOSE relay = OFF; ERROR LED = ON; buzzer indicates error</t>
  </si>
  <si>
    <t>STATE = ERROR; OPEN relay = OFF; CLOSE relay = OFF; ERROR LED = ON</t>
  </si>
  <si>
    <t>STATE = OPENING; OPEN relay = ON; CLOSE relay = OFF; OPEN LED = ON; CLOSE LED = OFF; ERROR LED = OFF; BUZZER = OFF. Serial Monitor: "OPEN LIMIT DETECTED" repeated 47 times, state does not change.</t>
  </si>
  <si>
    <t>STATE = ERROR; OPEN relay = OFF; CLOSE relay = OFF; OPEN LED = OFF; CLOSE LED = OFF; ERROR LED = ON; BUZZER = ON. Serial Monitor: "ERROR: movement timeout", "STATE: CLOSING -&gt; ERROR"</t>
  </si>
  <si>
    <t>STATE = OPENING (CLOSED -&gt; OPENING, no transition to ERROR); OPEN relay = ON; CLOSE relay = OFF; OPEN LED = ON; CLOSE LED = OFF; ERROR LED = OFF; BUZZER = OFF. No timeout message in Serial Monitor.</t>
  </si>
  <si>
    <t>STATE = CLOSED; OPEN relay = OFF; CLOSE relay = OFF; OPEN LED = OFF; CLOSE LED = OFF; ERROR LED = OFF; BUZZER = OFF. Serial Monitor repeatedly shows "WARNING: both limit switches active".</t>
  </si>
  <si>
    <t>Critical</t>
  </si>
  <si>
    <t>Medium</t>
  </si>
  <si>
    <t>High</t>
  </si>
  <si>
    <t>Environment</t>
  </si>
  <si>
    <t>Simulator Wokwi, Arduino Uno</t>
  </si>
  <si>
    <t>TC-03. Serial Monitor: OPEN LIMIT DETECTED x 47. Blocks TC-04 (OPEN state cannot be reached).</t>
  </si>
  <si>
    <t>TC-04. Serial Monitor:
Initial state: CLOSED
COMMAND: O
STATE: CLOSED -&gt; OPENING
COMMAND: S
STATE: OPENING -&gt; STOPPED
COMMAND: C
STATE: STOPPED -&gt; CLOSING
ERROR: movement timeout
STATE: CLOSING -&gt; ERROR
Related to BUG-01.</t>
  </si>
  <si>
    <t>TC-11. Serial Monitor:
=== SMART GATE CONTROLLER ===
Commands: O=open, C=close, S=stop, R=reset error
Initial state: CLOSED
COMMAND: O
STATE: CLOSED -&gt; OPENING
(no further messages)</t>
  </si>
  <si>
    <t>TC-13. Serial Monitor:
=== SMART GATE CONTROLLER ===
Initial state: CLOSED
WARNING: both limit switches active (x4+)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</si>
</sst>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"/>
  </numFmts>
  <fonts count="7">
    <font>
      <sz val="11.0"/>
      <color theme="1"/>
      <name val="Calibri"/>
      <scheme val="minor"/>
    </font>
    <font>
      <b/>
      <color rgb="FFFFFFFF"/>
      <name val="Calibri"/>
      <scheme val="minor"/>
    </font>
    <font>
      <b/>
      <sz val="15.0"/>
      <color rgb="FFFFFFFF"/>
      <name val="Calibri"/>
      <scheme val="minor"/>
    </font>
    <font>
      <sz val="11.0"/>
      <color theme="1"/>
      <name val="Calibri"/>
    </font>
    <font>
      <color theme="1"/>
      <name val="Calibri"/>
      <scheme val="minor"/>
    </font>
    <font>
      <b/>
      <color rgb="FF2F5597"/>
      <name val="Calibri"/>
      <scheme val="minor"/>
    </font>
    <font>
      <sz val="11.0"/>
      <color theme="1"/>
      <name val="Carlito"/>
    </font>
  </fonts>
  <fills count="5">
    <fill>
      <patternFill patternType="none"/>
    </fill>
    <fill>
      <patternFill patternType="lightGray"/>
    </fill>
    <fill>
      <patternFill patternType="solid">
        <fgColor rgb="FF2F5597"/>
        <bgColor rgb="FF2F5597"/>
      </patternFill>
    </fill>
    <fill>
      <patternFill patternType="solid">
        <fgColor rgb="FFD9E2F3"/>
        <bgColor rgb="FFD9E2F3"/>
      </patternFill>
    </fill>
    <fill>
      <patternFill patternType="solid">
        <fgColor rgb="FFEAF0F8"/>
        <bgColor rgb="FFEAF0F8"/>
      </patternFill>
    </fill>
  </fills>
  <borders count="5">
    <border/>
    <border>
      <left/>
      <right/>
      <top/>
      <bottom/>
    </border>
    <border>
      <left/>
      <top/>
      <bottom/>
    </border>
    <border>
      <right/>
      <top/>
      <bottom/>
    </border>
    <border>
      <left style="thin">
        <color rgb="FF8EA9DB"/>
      </left>
      <right style="thin">
        <color rgb="FF8EA9DB"/>
      </right>
      <top style="thin">
        <color rgb="FF8EA9DB"/>
      </top>
      <bottom style="thin">
        <color rgb="FF8EA9DB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2" fontId="2" numFmtId="0" xfId="0" applyAlignment="1" applyBorder="1" applyFill="1" applyFont="1">
      <alignment horizontal="center" readingOrder="0" vertical="center"/>
    </xf>
    <xf borderId="3" fillId="2" fontId="2" numFmtId="0" xfId="0" applyAlignment="1" applyBorder="1" applyFill="1" applyFont="1">
      <alignment horizontal="center" readingOrder="0" vertical="center"/>
    </xf>
    <xf borderId="4" fillId="0" fontId="3" numFmtId="0" xfId="0" applyAlignment="1" applyBorder="1" applyFont="1">
      <alignment shrinkToFit="0" vertical="top" wrapText="1"/>
    </xf>
    <xf borderId="0" fillId="2" fontId="4" numFmtId="0" xfId="0" applyFill="1" applyFont="1"/>
    <xf borderId="4" fillId="3" fontId="5" numFmtId="0" xfId="0" applyAlignment="1" applyBorder="1" applyFill="1" applyFont="1">
      <alignment horizontal="center"/>
    </xf>
    <xf borderId="4" fillId="4" fontId="5" numFmtId="0" xfId="0" applyAlignment="1" applyBorder="1" applyFill="1" applyFont="1">
      <alignment horizontal="left" shrinkToFit="0" vertical="center" wrapText="1"/>
    </xf>
    <xf borderId="4" fillId="0" fontId="3" numFmtId="0" xfId="0" applyAlignment="1" applyBorder="1" applyFont="1">
      <alignment horizontal="center" readingOrder="0" shrinkToFit="0" vertical="center" wrapText="1"/>
    </xf>
    <xf borderId="4" fillId="0" fontId="3" numFmtId="0" xfId="0" applyAlignment="1" applyBorder="1" applyFont="1">
      <alignment readingOrder="0" shrinkToFit="0" vertical="top" wrapText="1"/>
    </xf>
    <xf borderId="4" fillId="0" fontId="3" numFmtId="164" xfId="0" applyAlignment="1" applyBorder="1" applyFont="1" applyNumberFormat="1">
      <alignment readingOrder="0" shrinkToFit="0" vertical="top" wrapText="1"/>
    </xf>
    <xf borderId="4" fillId="4" fontId="5" numFmtId="0" xfId="0" applyAlignment="1" applyBorder="1" applyFill="1" applyFont="1">
      <alignment horizontal="left" shrinkToFit="0" vertical="top" wrapText="1"/>
    </xf>
    <xf borderId="0" fillId="0" fontId="6" numFmtId="0" xfId="0" applyAlignment="1" applyFont="1">
      <alignment readingOrder="0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3.0" topLeftCell="B4" activePane="bottomRight" state="frozen"/>
      <selection activeCell="B1" sqref="B1" pane="topRight"/>
      <selection activeCell="A4" sqref="A4" pane="bottomLeft"/>
      <selection activeCell="B4" sqref="B4" pane="bottomRight"/>
    </sheetView>
  </sheetViews>
  <sheetFormatPr customHeight="1" defaultColWidth="14.43" defaultRowHeight="15.0"/>
  <cols>
    <col customWidth="1" min="1" max="1" width="23.0"/>
    <col customWidth="1" min="2" max="5" width="63.0"/>
  </cols>
  <sheetData>
    <row r="1" ht="27.75" customHeight="1">
      <c r="A1" s="2" t="s">
        <v>1</v>
      </c>
      <c r="B1" s="3"/>
      <c r="C1" s="5"/>
      <c r="D1" s="5"/>
      <c r="E1" s="5"/>
    </row>
    <row r="3">
      <c r="A3" s="6" t="s">
        <v>11</v>
      </c>
      <c r="B3" s="6" t="s">
        <v>12</v>
      </c>
      <c r="C3" s="6" t="s">
        <v>12</v>
      </c>
      <c r="D3" s="6" t="s">
        <v>12</v>
      </c>
      <c r="E3" s="6" t="s">
        <v>12</v>
      </c>
    </row>
    <row r="4" ht="27.75" customHeight="1">
      <c r="A4" s="7" t="s">
        <v>0</v>
      </c>
      <c r="B4" s="8" t="s">
        <v>13</v>
      </c>
      <c r="C4" s="8" t="s">
        <v>14</v>
      </c>
      <c r="D4" s="8" t="s">
        <v>15</v>
      </c>
      <c r="E4" s="8" t="s">
        <v>16</v>
      </c>
    </row>
    <row r="5" ht="27.75" customHeight="1">
      <c r="A5" s="7" t="s">
        <v>2</v>
      </c>
      <c r="B5" s="9" t="s">
        <v>17</v>
      </c>
      <c r="C5" s="9" t="s">
        <v>18</v>
      </c>
      <c r="D5" s="9" t="s">
        <v>19</v>
      </c>
      <c r="E5" s="9" t="s">
        <v>20</v>
      </c>
    </row>
    <row r="6" ht="27.75" customHeight="1">
      <c r="A6" s="7" t="s">
        <v>3</v>
      </c>
      <c r="B6" s="9" t="s">
        <v>21</v>
      </c>
      <c r="C6" s="9" t="s">
        <v>22</v>
      </c>
      <c r="D6" s="9" t="s">
        <v>23</v>
      </c>
      <c r="E6" s="9" t="s">
        <v>24</v>
      </c>
    </row>
    <row r="7" ht="27.75" customHeight="1">
      <c r="A7" s="7" t="s">
        <v>4</v>
      </c>
      <c r="B7" s="9" t="s">
        <v>25</v>
      </c>
      <c r="C7" s="9" t="s">
        <v>26</v>
      </c>
      <c r="D7" s="9" t="s">
        <v>27</v>
      </c>
      <c r="E7" s="9" t="s">
        <v>28</v>
      </c>
    </row>
    <row r="8" ht="69.75" customHeight="1">
      <c r="A8" s="7" t="s">
        <v>5</v>
      </c>
      <c r="B8" s="9" t="s">
        <v>29</v>
      </c>
      <c r="C8" s="9" t="s">
        <v>30</v>
      </c>
      <c r="D8" s="9" t="s">
        <v>31</v>
      </c>
      <c r="E8" s="9" t="s">
        <v>32</v>
      </c>
    </row>
    <row r="9" ht="27.75" customHeight="1">
      <c r="A9" s="7" t="s">
        <v>6</v>
      </c>
      <c r="B9" s="9" t="s">
        <v>33</v>
      </c>
      <c r="C9" s="9" t="s">
        <v>34</v>
      </c>
      <c r="D9" s="9" t="s">
        <v>35</v>
      </c>
      <c r="E9" s="9" t="s">
        <v>36</v>
      </c>
    </row>
    <row r="10" ht="27.75" customHeight="1">
      <c r="A10" s="7" t="s">
        <v>7</v>
      </c>
      <c r="B10" s="9" t="s">
        <v>37</v>
      </c>
      <c r="C10" s="9" t="s">
        <v>38</v>
      </c>
      <c r="D10" s="9" t="s">
        <v>39</v>
      </c>
      <c r="E10" s="9" t="s">
        <v>40</v>
      </c>
    </row>
    <row r="11" ht="27.75" customHeight="1">
      <c r="A11" s="7" t="s">
        <v>8</v>
      </c>
      <c r="B11" s="9" t="s">
        <v>41</v>
      </c>
      <c r="C11" s="9" t="s">
        <v>42</v>
      </c>
      <c r="D11" s="9" t="s">
        <v>43</v>
      </c>
      <c r="E11" s="9" t="s">
        <v>43</v>
      </c>
    </row>
    <row r="12" ht="27.75" customHeight="1">
      <c r="A12" s="7" t="s">
        <v>9</v>
      </c>
      <c r="B12" s="10">
        <v>46147.0</v>
      </c>
      <c r="C12" s="10">
        <v>46147.0</v>
      </c>
      <c r="D12" s="10">
        <v>46147.0</v>
      </c>
      <c r="E12" s="10">
        <v>46147.0</v>
      </c>
    </row>
    <row r="13" ht="27.75" customHeight="1">
      <c r="A13" s="7" t="s">
        <v>44</v>
      </c>
      <c r="B13" s="9" t="s">
        <v>45</v>
      </c>
      <c r="C13" s="9" t="s">
        <v>45</v>
      </c>
      <c r="D13" s="9" t="s">
        <v>45</v>
      </c>
      <c r="E13" s="9" t="s">
        <v>45</v>
      </c>
    </row>
    <row r="14" ht="152.25" customHeight="1">
      <c r="A14" s="11" t="s">
        <v>10</v>
      </c>
      <c r="B14" s="12" t="s">
        <v>46</v>
      </c>
      <c r="C14" s="12" t="s">
        <v>47</v>
      </c>
      <c r="D14" s="12" t="s">
        <v>48</v>
      </c>
      <c r="E14" s="12" t="s">
        <v>49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qref="B11:E11">
      <formula1>"Low,Medium,High,Critical"</formula1>
    </dataValidation>
    <dataValidation type="list" allowBlank="1" sqref="B12:E12">
      <formula1>"1/5,2/5,3/5,4/5,5/5,Intermittent"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2.0"/>
    <col customWidth="1" min="2" max="2" width="28.0"/>
    <col customWidth="1" min="3" max="3" width="15.0"/>
    <col customWidth="1" min="4" max="4" width="24.0"/>
    <col customWidth="1" min="5" max="5" width="35.0"/>
    <col customWidth="1" min="6" max="7" width="30.0"/>
    <col customWidth="1" min="8" max="8" width="14.0"/>
    <col customWidth="1" min="9" max="9" width="18.0"/>
    <col customWidth="1" min="10" max="10" width="32.0"/>
    <col customWidth="1" min="11" max="26" width="8.71"/>
  </cols>
  <sheetData>
    <row r="1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</row>
    <row r="2" ht="54.75" customHeight="1">
      <c r="A2" s="4"/>
      <c r="B2" s="4"/>
      <c r="C2" s="4"/>
      <c r="D2" s="4"/>
      <c r="E2" s="4"/>
      <c r="F2" s="4"/>
      <c r="G2" s="4"/>
      <c r="H2" s="4"/>
      <c r="I2" s="4"/>
      <c r="J2" s="4"/>
    </row>
    <row r="3" ht="54.75" customHeight="1">
      <c r="A3" s="4"/>
      <c r="B3" s="4"/>
      <c r="C3" s="4"/>
      <c r="D3" s="4"/>
      <c r="E3" s="4"/>
      <c r="F3" s="4"/>
      <c r="G3" s="4"/>
      <c r="H3" s="4"/>
      <c r="I3" s="4"/>
      <c r="J3" s="4"/>
    </row>
    <row r="4" ht="54.75" customHeight="1">
      <c r="A4" s="4"/>
      <c r="B4" s="4"/>
      <c r="C4" s="4"/>
      <c r="D4" s="4"/>
      <c r="E4" s="4"/>
      <c r="F4" s="4"/>
      <c r="G4" s="4"/>
      <c r="H4" s="4"/>
      <c r="I4" s="4"/>
      <c r="J4" s="4"/>
    </row>
    <row r="5" ht="54.75" customHeight="1">
      <c r="A5" s="4"/>
      <c r="B5" s="4"/>
      <c r="C5" s="4"/>
      <c r="D5" s="4"/>
      <c r="E5" s="4"/>
      <c r="F5" s="4"/>
      <c r="G5" s="4"/>
      <c r="H5" s="4"/>
      <c r="I5" s="4"/>
      <c r="J5" s="4"/>
    </row>
    <row r="6" ht="54.75" customHeight="1">
      <c r="A6" s="4"/>
      <c r="B6" s="4"/>
      <c r="C6" s="4"/>
      <c r="D6" s="4"/>
      <c r="E6" s="4"/>
      <c r="F6" s="4"/>
      <c r="G6" s="4"/>
      <c r="H6" s="4"/>
      <c r="I6" s="4"/>
      <c r="J6" s="4"/>
    </row>
    <row r="7" ht="54.75" customHeight="1">
      <c r="A7" s="4"/>
      <c r="B7" s="4"/>
      <c r="C7" s="4"/>
      <c r="D7" s="4"/>
      <c r="E7" s="4"/>
      <c r="F7" s="4"/>
      <c r="G7" s="4"/>
      <c r="H7" s="4"/>
      <c r="I7" s="4"/>
      <c r="J7" s="4"/>
    </row>
    <row r="8" ht="54.75" customHeight="1">
      <c r="A8" s="4"/>
      <c r="B8" s="4"/>
      <c r="C8" s="4"/>
      <c r="D8" s="4"/>
      <c r="E8" s="4"/>
      <c r="F8" s="4"/>
      <c r="G8" s="4"/>
      <c r="H8" s="4"/>
      <c r="I8" s="4"/>
      <c r="J8" s="4"/>
    </row>
    <row r="9" ht="54.75" customHeight="1">
      <c r="A9" s="4"/>
      <c r="B9" s="4"/>
      <c r="C9" s="4"/>
      <c r="D9" s="4"/>
      <c r="E9" s="4"/>
      <c r="F9" s="4"/>
      <c r="G9" s="4"/>
      <c r="H9" s="4"/>
      <c r="I9" s="4"/>
      <c r="J9" s="4"/>
    </row>
    <row r="10" ht="54.75" customHeight="1">
      <c r="A10" s="4"/>
      <c r="B10" s="4"/>
      <c r="C10" s="4"/>
      <c r="D10" s="4"/>
      <c r="E10" s="4"/>
      <c r="F10" s="4"/>
      <c r="G10" s="4"/>
      <c r="H10" s="4"/>
      <c r="I10" s="4"/>
      <c r="J10" s="4"/>
    </row>
    <row r="11" ht="54.75" customHeight="1">
      <c r="A11" s="4"/>
      <c r="B11" s="4"/>
      <c r="C11" s="4"/>
      <c r="D11" s="4"/>
      <c r="E11" s="4"/>
      <c r="F11" s="4"/>
      <c r="G11" s="4"/>
      <c r="H11" s="4"/>
      <c r="I11" s="4"/>
      <c r="J11" s="4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qref="H2:H11">
      <formula1>"Low,Medium,High,Critical"</formula1>
    </dataValidation>
    <dataValidation type="list" allowBlank="1" sqref="I2:I11">
      <formula1>"1/5,2/5,3/5,4/5,5/5,Intermittent"</formula1>
    </dataValidation>
  </dataValidations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2026-09-17T11:45:49Z</dcterms:created>
  <dc:creator>openpyxl</dc:creator>
</cp:coreProperties>
</file>